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38620" windowHeight="21100" tabRatio="600" firstSheet="0" activeTab="1" autoFilterDateGrouping="1"/>
  </bookViews>
  <sheets>
    <sheet name="Fallos Forjamagia" sheetId="1" state="visible" r:id="rId1"/>
    <sheet name="Exitos Forjamagia" sheetId="2" state="visible" r:id="rId2"/>
  </sheets>
  <definedNames/>
  <calcPr calcId="191029" fullCalcOnLoad="1" concurrentManualCount="8"/>
</workbook>
</file>

<file path=xl/styles.xml><?xml version="1.0" encoding="utf-8"?>
<styleSheet xmlns="http://schemas.openxmlformats.org/spreadsheetml/2006/main">
  <numFmts count="2">
    <numFmt numFmtId="164" formatCode="_-* #,##0.000_-;\-* #,##0.000_-;_-* &quot;-&quot;??_-;_-@_-"/>
    <numFmt numFmtId="165" formatCode="_-* #,##0_-;\-* #,##0_-;_-* &quot;-&quot;??_-;_-@_-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7"/>
        <bgColor indexed="64"/>
      </patternFill>
    </fill>
    <fill>
      <patternFill patternType="solid">
        <fgColor theme="2" tint="-0.499984740745262"/>
        <bgColor indexed="64"/>
      </patternFill>
    </fill>
  </fills>
  <borders count="11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ck">
        <color auto="1"/>
      </top>
      <bottom/>
      <diagonal/>
    </border>
  </borders>
  <cellStyleXfs count="2">
    <xf numFmtId="0" fontId="3" fillId="0" borderId="0"/>
    <xf numFmtId="43" fontId="3" fillId="0" borderId="0"/>
  </cellStyleXfs>
  <cellXfs count="21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3" fontId="2" fillId="2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3" fontId="2" fillId="4" borderId="5" applyAlignment="1" pivotButton="0" quotePrefix="0" xfId="0">
      <alignment horizontal="center" vertical="center"/>
    </xf>
    <xf numFmtId="3" fontId="2" fillId="4" borderId="4" applyAlignment="1" pivotButton="0" quotePrefix="0" xfId="0">
      <alignment horizontal="center" vertical="center"/>
    </xf>
    <xf numFmtId="164" fontId="3" fillId="0" borderId="0" pivotButton="0" quotePrefix="0" xfId="1"/>
    <xf numFmtId="0" fontId="2" fillId="2" borderId="2" applyAlignment="1" pivotButton="0" quotePrefix="0" xfId="0">
      <alignment horizontal="center" vertical="center"/>
    </xf>
    <xf numFmtId="165" fontId="2" fillId="4" borderId="2" applyAlignment="1" pivotButton="0" quotePrefix="0" xfId="0">
      <alignment horizontal="center" vertical="center"/>
    </xf>
    <xf numFmtId="165" fontId="1" fillId="0" borderId="6" pivotButton="0" quotePrefix="0" xfId="1"/>
    <xf numFmtId="3" fontId="1" fillId="0" borderId="6" applyAlignment="1" pivotButton="0" quotePrefix="0" xfId="0">
      <alignment horizontal="center" vertical="center"/>
    </xf>
    <xf numFmtId="165" fontId="1" fillId="0" borderId="6" applyAlignment="1" pivotButton="0" quotePrefix="0" xfId="1">
      <alignment horizontal="center"/>
    </xf>
    <xf numFmtId="0" fontId="1" fillId="0" borderId="6" pivotButton="0" quotePrefix="0" xfId="0"/>
    <xf numFmtId="165" fontId="1" fillId="0" borderId="7" pivotButton="0" quotePrefix="0" xfId="1"/>
    <xf numFmtId="165" fontId="1" fillId="0" borderId="8" applyAlignment="1" pivotButton="0" quotePrefix="0" xfId="1">
      <alignment horizontal="center"/>
    </xf>
    <xf numFmtId="165" fontId="1" fillId="0" borderId="9" applyAlignment="1" pivotButton="0" quotePrefix="0" xfId="1">
      <alignment horizontal="center"/>
    </xf>
    <xf numFmtId="0" fontId="1" fillId="3" borderId="1" applyAlignment="1" pivotButton="0" quotePrefix="0" xfId="0">
      <alignment horizontal="center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Millares" xfId="1" builtinId="3"/>
  </cellStyles>
  <dxfs count="35">
    <dxf>
      <fill>
        <patternFill>
          <bgColor rgb="FF0070C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</font>
      <fill>
        <patternFill>
          <bgColor rgb="FF7030A0"/>
        </patternFill>
      </fill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lor theme="0"/>
        <sz val="11"/>
        <vertAlign val="baseline"/>
        <scheme val="minor"/>
      </font>
      <numFmt numFmtId="3" formatCode="#,##0"/>
      <fill>
        <patternFill patternType="solid">
          <fgColor indexed="64"/>
          <bgColor theme="2" tint="-0.499984740745262"/>
        </patternFill>
      </fill>
      <alignment horizontal="center" vertical="center"/>
      <border>
        <left style="thick">
          <color auto="1"/>
        </left>
        <right/>
        <top style="thick">
          <color auto="1"/>
        </top>
        <bottom style="thick">
          <color auto="1"/>
        </bottom>
      </border>
    </dxf>
    <dxf>
      <font>
        <name val="Calibri"/>
        <family val="2"/>
        <b val="1"/>
        <strike val="0"/>
        <outline val="0"/>
        <shadow val="0"/>
        <color theme="0"/>
        <sz val="11"/>
        <vertAlign val="baseline"/>
        <scheme val="minor"/>
      </font>
      <fill>
        <patternFill patternType="solid">
          <fgColor indexed="64"/>
          <bgColor theme="2" tint="-0.499984740745262"/>
        </patternFill>
      </fill>
      <alignment horizontal="center" vertical="center"/>
      <border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name val="Calibri"/>
        <family val="2"/>
        <b val="1"/>
        <strike val="0"/>
        <outline val="0"/>
        <shadow val="0"/>
        <color theme="0"/>
        <sz val="11"/>
        <vertAlign val="baseline"/>
        <scheme val="minor"/>
      </font>
      <fill>
        <patternFill patternType="solid">
          <fgColor indexed="64"/>
          <bgColor theme="2" tint="-0.499984740745262"/>
        </patternFill>
      </fill>
      <alignment horizontal="center" vertical="center"/>
      <border outline="0">
        <left/>
        <right style="thick">
          <color auto="1"/>
        </right>
        <top style="thick">
          <color auto="1"/>
        </top>
        <bottom style="thick">
          <color auto="1"/>
        </bottom>
      </border>
    </dxf>
    <dxf>
      <border outline="0">
        <left style="thick">
          <color auto="1"/>
        </left>
      </border>
    </dxf>
    <dxf>
      <font>
        <name val="Calibri"/>
        <family val="2"/>
        <b val="1"/>
        <strike val="0"/>
        <outline val="0"/>
        <shadow val="0"/>
        <color rgb="FFFFFFFF"/>
        <sz val="11"/>
        <vertAlign val="baseline"/>
      </font>
      <fill>
        <patternFill patternType="solid">
          <fgColor rgb="FF000000"/>
          <bgColor rgb="FF757171"/>
        </patternFill>
      </fill>
      <alignment horizontal="center" vertical="center"/>
    </dxf>
    <dxf>
      <alignment horizontal="center" vertical="center"/>
      <border>
        <left style="thick">
          <color auto="1"/>
        </left>
        <right style="thick">
          <color auto="1"/>
        </right>
        <top/>
        <bottom/>
        <vertical style="thick">
          <color auto="1"/>
        </vertical>
        <horizontal style="thick">
          <color auto="1"/>
        </horizontal>
      </border>
    </dxf>
    <dxf>
      <font>
        <b val="1"/>
      </font>
      <numFmt numFmtId="165" formatCode="_-* #,##0_-;\-* #,##0_-;_-* &quot;-&quot;??_-;_-@_-"/>
      <alignment horizontal="center" vertical="bottom"/>
      <border>
        <left style="medium">
          <color auto="1"/>
        </left>
        <right/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1"/>
      </font>
      <numFmt numFmtId="165" formatCode="_-* #,##0_-;\-* #,##0_-;_-* &quot;-&quot;??_-;_-@_-"/>
      <alignment horizontal="center" vertical="bottom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1"/>
      </font>
      <numFmt numFmtId="165" formatCode="_-* #,##0_-;\-* #,##0_-;_-* &quot;-&quot;??_-;_-@_-"/>
      <alignment horizontal="center" vertical="bottom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1"/>
      </font>
      <numFmt numFmtId="165" formatCode="_-* #,##0_-;\-* #,##0_-;_-* &quot;-&quot;??_-;_-@_-"/>
      <alignment horizontal="center" vertical="bottom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1"/>
      </font>
      <numFmt numFmtId="165" formatCode="_-* #,##0_-;\-* #,##0_-;_-* &quot;-&quot;??_-;_-@_-"/>
      <alignment horizontal="center" vertical="bottom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1"/>
      </font>
      <numFmt numFmtId="165" formatCode="_-* #,##0_-;\-* #,##0_-;_-* &quot;-&quot;??_-;_-@_-"/>
      <alignment horizontal="center" vertical="bottom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1"/>
      </font>
      <numFmt numFmtId="165" formatCode="_-* #,##0_-;\-* #,##0_-;_-* &quot;-&quot;??_-;_-@_-"/>
      <alignment horizontal="center" vertical="bottom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1"/>
      </font>
      <numFmt numFmtId="165" formatCode="_-* #,##0_-;\-* #,##0_-;_-* &quot;-&quot;??_-;_-@_-"/>
      <alignment horizontal="center" vertical="bottom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1"/>
      </font>
      <numFmt numFmtId="165" formatCode="_-* #,##0_-;\-* #,##0_-;_-* &quot;-&quot;??_-;_-@_-"/>
      <alignment horizontal="center" vertical="bottom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1"/>
      </font>
      <numFmt numFmtId="165" formatCode="_-* #,##0_-;\-* #,##0_-;_-* &quot;-&quot;??_-;_-@_-"/>
      <alignment horizontal="center" vertical="bottom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1"/>
      </font>
      <numFmt numFmtId="165" formatCode="_-* #,##0_-;\-* #,##0_-;_-* &quot;-&quot;??_-;_-@_-"/>
      <alignment horizontal="center" vertical="bottom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1"/>
      </font>
      <numFmt numFmtId="165" formatCode="_-* #,##0_-;\-* #,##0_-;_-* &quot;-&quot;??_-;_-@_-"/>
      <alignment horizontal="center" vertical="bottom"/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1"/>
      </font>
      <numFmt numFmtId="165" formatCode="_-* #,##0_-;\-* #,##0_-;_-* &quot;-&quot;??_-;_-@_-"/>
      <border>
        <left/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1"/>
      </font>
      <numFmt numFmtId="165" formatCode="_-* #,##0_-;\-* #,##0_-;_-* &quot;-&quot;??_-;_-@_-"/>
    </dxf>
    <dxf>
      <font>
        <b val="1"/>
      </font>
      <numFmt numFmtId="165" formatCode="_-* #,##0_-;\-* #,##0_-;_-* &quot;-&quot;??_-;_-@_-"/>
      <border>
        <left style="medium">
          <color auto="1"/>
        </left>
        <right style="medium">
          <color auto="1"/>
        </right>
        <top/>
        <bottom/>
        <vertical style="medium">
          <color auto="1"/>
        </vertical>
        <horizontal style="medium">
          <color auto="1"/>
        </horizontal>
      </border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9" displayName="Tabla9" ref="A1:I4" headerRowCount="1" totalsRowShown="0" dataDxfId="34">
  <autoFilter ref="A1:I4"/>
  <tableColumns count="9">
    <tableColumn id="1" name="Fecha" dataDxfId="33"/>
    <tableColumn id="2" name="Objeto" dataDxfId="32"/>
    <tableColumn id="3" name="Intentos" dataDxfId="31"/>
    <tableColumn id="4" name="Kamas Iniciales" dataDxfId="30"/>
    <tableColumn id="5" name="Kamas Finales" dataDxfId="29"/>
    <tableColumn id="6" name="Inversion" dataDxfId="28"/>
    <tableColumn id="7" name="Tiempo Medio por Intento (s)" dataDxfId="27"/>
    <tableColumn id="8" name="Kamas por Intento" dataDxfId="26"/>
    <tableColumn id="9" name="Resultado" dataDxfId="25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Tabla10" displayName="Tabla10" ref="A1:M8" headerRowCount="1" totalsRowShown="0" headerRowDxfId="24" dataDxfId="23" headerRowCellStyle="Millares" dataCellStyle="Millares">
  <autoFilter ref="A1:M8"/>
  <tableColumns count="13">
    <tableColumn id="1" name="Fecha" dataDxfId="22" dataCellStyle="Millares"/>
    <tableColumn id="2" name="Objeto" dataDxfId="21" dataCellStyle="Millares"/>
    <tableColumn id="3" name="Intentos Totales" dataDxfId="20" dataCellStyle="Millares"/>
    <tableColumn id="4" name="Kamas Iniciales (acum.)" dataDxfId="19" dataCellStyle="Millares"/>
    <tableColumn id="5" name="Kamas Finales" dataDxfId="18" dataCellStyle="Millares"/>
    <tableColumn id="6" name="Inversion Total" dataDxfId="17" dataCellStyle="Millares"/>
    <tableColumn id="7" name="Tiempo Medio por Intento (s)" dataDxfId="16" dataCellStyle="Millares"/>
    <tableColumn id="8" name="Kamas por Intento (promedio)" dataDxfId="15" dataCellStyle="Millares"/>
    <tableColumn id="9" name="Resultado" dataDxfId="14" dataCellStyle="Millares"/>
    <tableColumn id="10" name="Precio Objeto Base" dataDxfId="13" dataCellStyle="Millares"/>
    <tableColumn id="11" name="Precio Venta Objeto Final" dataDxfId="12" dataCellStyle="Millares"/>
    <tableColumn id="12" name="Tipo Exo" dataDxfId="11" dataCellStyle="Millares"/>
    <tableColumn id="14" name="Rentabilidad (kamas/h)" dataDxfId="10" dataCellStyle="Millares"/>
  </tableColumns>
  <tableStyleInfo name="TableStyleDark1" showFirstColumn="0" showLastColumn="0" showRowStripes="1" showColumnStripes="0"/>
</table>
</file>

<file path=xl/tables/table3.xml><?xml version="1.0" encoding="utf-8"?>
<table xmlns="http://schemas.openxmlformats.org/spreadsheetml/2006/main" id="3" name="Tabla25712" displayName="Tabla25712" ref="N5:P8" headerRowCount="1" totalsRowShown="0" headerRowDxfId="9" dataDxfId="8" tableBorderDxfId="7">
  <autoFilter ref="N5:P8"/>
  <tableColumns count="3">
    <tableColumn id="1" name="Ratio Éxito" dataDxfId="6"/>
    <tableColumn id="2" name="Exos totales" dataDxfId="5"/>
    <tableColumn id="3" name="Profit" dataDxfId="4">
      <calculatedColumnFormula>SUM(N:N)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zoomScale="160" zoomScaleNormal="160" workbookViewId="0">
      <selection activeCell="D25" sqref="D25"/>
    </sheetView>
  </sheetViews>
  <sheetFormatPr baseColWidth="10" defaultColWidth="8.7265625" defaultRowHeight="14.5"/>
  <cols>
    <col width="10.1796875" bestFit="1" customWidth="1" min="1" max="1"/>
    <col width="12.7265625" bestFit="1" customWidth="1" min="2" max="2"/>
    <col width="10.1796875" bestFit="1" customWidth="1" min="3" max="3"/>
    <col width="15.453125" customWidth="1" min="4" max="4"/>
    <col width="14.54296875" customWidth="1" min="5" max="5"/>
    <col width="10.81640625" bestFit="1" customWidth="1" min="6" max="6"/>
    <col width="28" bestFit="1" customWidth="1" min="7" max="7"/>
    <col width="18.81640625" bestFit="1" customWidth="1" min="8" max="8"/>
    <col width="11.453125" bestFit="1" customWidth="1" min="9" max="9"/>
  </cols>
  <sheetData>
    <row r="1">
      <c r="A1" t="inlineStr">
        <is>
          <t>Fecha</t>
        </is>
      </c>
      <c r="B1" t="inlineStr">
        <is>
          <t>Objeto</t>
        </is>
      </c>
      <c r="C1" t="inlineStr">
        <is>
          <t>Intentos</t>
        </is>
      </c>
      <c r="D1" t="inlineStr">
        <is>
          <t>Kamas Iniciales</t>
        </is>
      </c>
      <c r="E1" t="inlineStr">
        <is>
          <t>Kamas Finales</t>
        </is>
      </c>
      <c r="F1" t="inlineStr">
        <is>
          <t>Inversion</t>
        </is>
      </c>
      <c r="G1" t="inlineStr">
        <is>
          <t>Tiempo Medio por Intento (s)</t>
        </is>
      </c>
      <c r="H1" t="inlineStr">
        <is>
          <t>Kamas por Intento</t>
        </is>
      </c>
      <c r="I1" t="inlineStr">
        <is>
          <t>Resultado</t>
        </is>
      </c>
    </row>
    <row r="2">
      <c r="A2" t="inlineStr">
        <is>
          <t>2026-02-14</t>
        </is>
      </c>
      <c r="B2" t="inlineStr">
        <is>
          <t>DemoObjeto_Prueba</t>
        </is>
      </c>
      <c r="C2" t="n">
        <v>3</v>
      </c>
      <c r="D2" t="n">
        <v>1000000</v>
      </c>
      <c r="E2" t="n">
        <v>999700</v>
      </c>
      <c r="F2" t="n">
        <v>300</v>
      </c>
      <c r="G2" t="n">
        <v>2.1</v>
      </c>
      <c r="H2" t="n">
        <v>100</v>
      </c>
      <c r="I2" t="inlineStr">
        <is>
          <t>0</t>
        </is>
      </c>
    </row>
  </sheetData>
  <pageMargins left="0.75" right="0.75" top="1" bottom="1" header="0.5" footer="0.5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tabSelected="1" zoomScale="115" zoomScaleNormal="115" workbookViewId="0">
      <selection activeCell="J17" sqref="J17"/>
    </sheetView>
  </sheetViews>
  <sheetFormatPr baseColWidth="10" defaultColWidth="8.7265625" defaultRowHeight="15" thickBottom="1"/>
  <cols>
    <col width="11.453125" bestFit="1" customWidth="1" style="14" min="1" max="1"/>
    <col width="28.90625" bestFit="1" customWidth="1" style="14" min="2" max="2"/>
    <col width="16.453125" customWidth="1" style="14" min="3" max="3"/>
    <col width="22.26953125" customWidth="1" style="14" min="4" max="4"/>
    <col width="14.54296875" customWidth="1" style="14" min="5" max="5"/>
    <col width="15.26953125" customWidth="1" style="14" min="6" max="6"/>
    <col width="27.54296875" customWidth="1" style="14" min="7" max="7"/>
    <col width="28.453125" customWidth="1" style="14" min="8" max="8"/>
    <col hidden="1" width="11.1796875" customWidth="1" style="14" min="9" max="9"/>
    <col width="18.54296875" customWidth="1" style="14" min="10" max="10"/>
    <col width="24.1796875" customWidth="1" style="14" min="11" max="11"/>
    <col width="17.453125" bestFit="1" customWidth="1" style="14" min="12" max="12"/>
    <col width="24.1796875" bestFit="1" customWidth="1" style="14" min="13" max="13"/>
    <col width="14.36328125" bestFit="1" customWidth="1" min="14" max="14"/>
    <col width="15.453125" bestFit="1" customWidth="1" min="15" max="15"/>
    <col width="11.7265625" bestFit="1" customWidth="1" min="16" max="16"/>
    <col width="10.1796875" bestFit="1" customWidth="1" min="17" max="17"/>
  </cols>
  <sheetData>
    <row r="1" ht="15.65" customHeight="1" thickBot="1">
      <c r="A1" s="11" t="inlineStr">
        <is>
          <t>Fecha</t>
        </is>
      </c>
      <c r="B1" s="11" t="inlineStr">
        <is>
          <t>Objeto</t>
        </is>
      </c>
      <c r="C1" s="11" t="inlineStr">
        <is>
          <t>Intentos Totales</t>
        </is>
      </c>
      <c r="D1" s="11" t="inlineStr">
        <is>
          <t>Kamas Iniciales (acum.)</t>
        </is>
      </c>
      <c r="E1" s="11" t="inlineStr">
        <is>
          <t>Kamas Finales</t>
        </is>
      </c>
      <c r="F1" s="11" t="inlineStr">
        <is>
          <t>Inversion Total</t>
        </is>
      </c>
      <c r="G1" s="11" t="inlineStr">
        <is>
          <t>Tiempo Medio por Intento (s)</t>
        </is>
      </c>
      <c r="H1" s="11" t="inlineStr">
        <is>
          <t>Kamas por Intento (promedio)</t>
        </is>
      </c>
      <c r="I1" s="11" t="inlineStr">
        <is>
          <t>Resultado</t>
        </is>
      </c>
      <c r="J1" s="11" t="inlineStr">
        <is>
          <t>Precio Objeto Base</t>
        </is>
      </c>
      <c r="K1" s="11" t="inlineStr">
        <is>
          <t>Precio Venta Objeto Final</t>
        </is>
      </c>
      <c r="L1" s="11" t="inlineStr">
        <is>
          <t>Tipo Exo</t>
        </is>
      </c>
      <c r="M1" s="11" t="inlineStr">
        <is>
          <t>Rentabilidad (kamas/h)</t>
        </is>
      </c>
    </row>
    <row r="2" ht="15.65" customHeight="1" thickBot="1">
      <c r="A2" s="12" t="n"/>
      <c r="B2" s="12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15.65" customHeight="1" thickBot="1">
      <c r="A3" s="11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</row>
    <row r="4" ht="15.5" customHeight="1" thickBot="1" thickTop="1">
      <c r="A4" s="15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7" t="n"/>
      <c r="N4" s="18" t="inlineStr">
        <is>
          <t>OVERALL</t>
        </is>
      </c>
      <c r="O4" s="19" t="n"/>
      <c r="P4" s="20" t="n"/>
    </row>
    <row r="5" ht="15.5" customHeight="1" thickBot="1" thickTop="1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7" t="n"/>
      <c r="N5" s="9" t="inlineStr">
        <is>
          <t>Ratio Éxito</t>
        </is>
      </c>
      <c r="O5" s="2" t="inlineStr">
        <is>
          <t>Exos totales</t>
        </is>
      </c>
      <c r="P5" s="2" t="inlineStr">
        <is>
          <t>Profit</t>
        </is>
      </c>
    </row>
    <row r="6" ht="15.5" customHeight="1" thickBot="1" thickTop="1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7" t="n"/>
      <c r="N6" s="10">
        <f>AVERAGE(C:C)</f>
        <v/>
      </c>
      <c r="O6" s="3">
        <f>COUNTIF(I:I,"Success")</f>
        <v/>
      </c>
      <c r="P6" s="5">
        <f>SUM(K:K)-SUM(J:J)-SUM(F:F)</f>
        <v/>
      </c>
    </row>
    <row r="7" ht="15.5" customHeight="1" thickBot="1" thickTop="1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7" t="n"/>
      <c r="N7" s="9" t="inlineStr">
        <is>
          <t>Kamas/hora</t>
        </is>
      </c>
      <c r="O7" s="1" t="inlineStr">
        <is>
          <t>Inversión total</t>
        </is>
      </c>
      <c r="P7" s="4" t="inlineStr">
        <is>
          <t>ratio</t>
        </is>
      </c>
    </row>
    <row r="8" ht="15.5" customHeight="1" thickBot="1" thickTop="1">
      <c r="A8" s="15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7" t="n"/>
      <c r="N8" s="7">
        <f>AVERAGE((M:M))</f>
        <v/>
      </c>
      <c r="O8" s="6">
        <f>SUM(F:F)</f>
        <v/>
      </c>
      <c r="P8" s="8">
        <f>P6/(SUM(J:J)+SUM(F:F))</f>
        <v/>
      </c>
    </row>
    <row r="9" thickBot="1">
      <c r="A9" t="inlineStr">
        <is>
          <t>2026-02-14</t>
        </is>
      </c>
      <c r="B9" t="inlineStr">
        <is>
          <t>Anillo de los Cielos</t>
        </is>
      </c>
      <c r="C9" t="n">
        <v>20</v>
      </c>
      <c r="D9" t="n">
        <v>175000</v>
      </c>
      <c r="E9" t="n">
        <v>165000</v>
      </c>
      <c r="F9" t="n">
        <v>35000</v>
      </c>
      <c r="G9" t="n">
        <v>10.45</v>
      </c>
      <c r="H9" t="n">
        <v>1750</v>
      </c>
      <c r="I9" t="n">
        <v>50000</v>
      </c>
      <c r="J9" t="n">
        <v>300000</v>
      </c>
      <c r="K9" t="inlineStr">
        <is>
          <t>PA</t>
        </is>
      </c>
    </row>
    <row r="10" ht="14.5" customHeight="1">
      <c r="A10" t="inlineStr">
        <is>
          <t>2026-02-14</t>
        </is>
      </c>
      <c r="B10" t="inlineStr">
        <is>
          <t>DemoObjeto_Prueba</t>
        </is>
      </c>
      <c r="C10" t="n">
        <v>5</v>
      </c>
      <c r="D10" t="n">
        <v>999700</v>
      </c>
      <c r="E10" t="n">
        <v>999200</v>
      </c>
      <c r="F10" t="n">
        <v>800</v>
      </c>
      <c r="G10" t="n">
        <v>2.06</v>
      </c>
      <c r="H10" t="n">
        <v>160</v>
      </c>
      <c r="I10" t="n">
        <v>50000</v>
      </c>
      <c r="J10" t="n">
        <v>150000</v>
      </c>
      <c r="K10" t="inlineStr">
        <is>
          <t>PA</t>
        </is>
      </c>
    </row>
    <row r="135" ht="14.5" customHeight="1"/>
    <row r="136" ht="14.5" customHeight="1"/>
    <row r="137" ht="14.5" customHeight="1"/>
    <row r="138" ht="14.5" customHeight="1"/>
    <row r="139" ht="14.5" customHeight="1"/>
    <row r="140" ht="14.5" customHeight="1"/>
    <row r="141" ht="14.5" customHeight="1"/>
    <row r="142" ht="14.5" customHeight="1"/>
    <row r="143" ht="14.5" customHeight="1"/>
    <row r="144" ht="14.5" customHeight="1"/>
    <row r="145" ht="14.5" customHeight="1"/>
    <row r="146" ht="14.5" customHeight="1"/>
    <row r="147" ht="14.5" customHeight="1"/>
    <row r="148" ht="14.5" customHeight="1"/>
    <row r="149" ht="14.5" customHeight="1"/>
    <row r="150" ht="14.5" customHeight="1"/>
    <row r="151" ht="14.5" customHeight="1"/>
    <row r="152" ht="14.5" customHeight="1"/>
    <row r="161" ht="14.5" customHeight="1"/>
    <row r="162" ht="14.5" customHeight="1"/>
    <row r="163" ht="14.5" customHeight="1"/>
  </sheetData>
  <mergeCells count="1">
    <mergeCell ref="N4:P4"/>
  </mergeCells>
  <conditionalFormatting sqref="M2:M8">
    <cfRule type="cellIs" priority="1" operator="lessThan" dxfId="3">
      <formula>4000000</formula>
    </cfRule>
    <cfRule type="cellIs" priority="2" operator="greaterThan" dxfId="2">
      <formula>12000001</formula>
    </cfRule>
    <cfRule type="cellIs" priority="15" operator="between" dxfId="1">
      <formula>8000001</formula>
      <formula>12000000</formula>
    </cfRule>
    <cfRule type="cellIs" priority="16" operator="between" dxfId="0">
      <formula>4000000</formula>
      <formula>8000000</formula>
    </cfRule>
  </conditionalFormatting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Sánchez Sanzmilla</dc:creator>
  <dcterms:created xsi:type="dcterms:W3CDTF">2023-12-29T10:27:07Z</dcterms:created>
  <dcterms:modified xsi:type="dcterms:W3CDTF">2026-02-14T08:37:07Z</dcterms:modified>
  <cp:lastModifiedBy>daniswarsxy sanc sanz</cp:lastModifiedBy>
</cp:coreProperties>
</file>